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otation" sheetId="1" state="visible" r:id="rId3"/>
    <sheet name="Internal - do not send" sheetId="2" state="visible" r:id="rId4"/>
  </sheets>
  <definedNames>
    <definedName function="false" hidden="false" localSheetId="0" name="_xlnm.Print_Titles" vbProcedure="false">Quotation!$10:$10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<sst xmlns="http://schemas.openxmlformats.org/spreadsheetml/2006/main" count="132" uniqueCount="90">
  <si>
    <t xml:space="preserve">SUDARSHAN PIPES</t>
  </si>
  <si>
    <t xml:space="preserve">[Registered office address]  |  GSTIN: [to fill]  |  Phone: [to fill]  |  Email: [to fill]</t>
  </si>
  <si>
    <t xml:space="preserve">QUOTATION</t>
  </si>
  <si>
    <t xml:space="preserve">Quotation No.</t>
  </si>
  <si>
    <t xml:space="preserve">SP/2026-27/____</t>
  </si>
  <si>
    <t xml:space="preserve">Date</t>
  </si>
  <si>
    <t xml:space="preserve">15-Oct-2026</t>
  </si>
  <si>
    <t xml:space="preserve">To</t>
  </si>
  <si>
    <t xml:space="preserve">Sri Veerabhadragouda Patil (Prime Contractor), Joint Venture with Infracon Structures, Prop. Pramodh Anand</t>
  </si>
  <si>
    <t xml:space="preserve">Valid for (days)</t>
  </si>
  <si>
    <t xml:space="preserve">Project</t>
  </si>
  <si>
    <t xml:space="preserve">MGNVY-2.0, Package-02: Comprehensive development of arterial &amp; sub-arterial roads with underground conduits for utilities under Urban Connectivity, Belagavi City Corporation limits (DMA/2025-26/RD/WORK_INDENT38534)</t>
  </si>
  <si>
    <t xml:space="preserve">Supply type</t>
  </si>
  <si>
    <t xml:space="preserve">Intra-state (Karnataka)</t>
  </si>
  <si>
    <t xml:space="preserve">Reference</t>
  </si>
  <si>
    <t xml:space="preserve">Directorate of Municipal Administration, Itemwise Schedule-B. Agreement No. 1740586/DMA/TECH/MGNV/12/2025-26/AGR-__ (verify from BOQ). Quantities as per BOQ.</t>
  </si>
  <si>
    <t xml:space="preserve">GST %</t>
  </si>
  <si>
    <t xml:space="preserve">S.No</t>
  </si>
  <si>
    <t xml:space="preserve">BOQ Item No.</t>
  </si>
  <si>
    <t xml:space="preserve">BOQ Item Code</t>
  </si>
  <si>
    <t xml:space="preserve">Description (as per BOQ)</t>
  </si>
  <si>
    <t xml:space="preserve">Size (mm)</t>
  </si>
  <si>
    <t xml:space="preserve">Unit</t>
  </si>
  <si>
    <t xml:space="preserve">Qty</t>
  </si>
  <si>
    <t xml:space="preserve">Rate (Rs/unit)</t>
  </si>
  <si>
    <t xml:space="preserve">Amount (Rs)</t>
  </si>
  <si>
    <t xml:space="preserve">HSN</t>
  </si>
  <si>
    <t xml:space="preserve">Remarks / check before sending</t>
  </si>
  <si>
    <t xml:space="preserve">A. Plastic pipes (HDPE / DWC / PVC) in the BOQ</t>
  </si>
  <si>
    <t xml:space="preserve">9.1.4</t>
  </si>
  <si>
    <t xml:space="preserve">HDPE pipe, grade PE80, PN 6.0, conforming to IS 4984:2016. BOQ note: up to 110 mm dia supplied in coil.</t>
  </si>
  <si>
    <t xml:space="preserve">m</t>
  </si>
  <si>
    <t xml:space="preserve">3917</t>
  </si>
  <si>
    <t xml:space="preserve">BOQ asks PE80 PN6.0. Confirm grade offered and coil length.</t>
  </si>
  <si>
    <t xml:space="preserve">9.1.9</t>
  </si>
  <si>
    <t xml:space="preserve">HDPE pipe, grade PE80, PN 6.0, conforming to IS 4984:2016.</t>
  </si>
  <si>
    <t xml:space="preserve">Confirm PE80 PN6.0 and supply length (straight lengths/coil).</t>
  </si>
  <si>
    <t xml:space="preserve">9.16.10</t>
  </si>
  <si>
    <t xml:space="preserve">Class SN8 double wall corrugated HDPE pipe (outer wall corrugated, inner wall smooth) as per IS 16098 Part 2, with coupler and two O-rings per joint.</t>
  </si>
  <si>
    <t xml:space="preserve">Confirm SN8 600 mm availability; BOQ says approved make/spec.</t>
  </si>
  <si>
    <t xml:space="preserve">9.16.6</t>
  </si>
  <si>
    <t xml:space="preserve">Class SN8 double wall corrugated HDPE pipe as per IS 16098 Part 2, with coupler and two O-rings per joint.</t>
  </si>
  <si>
    <t xml:space="preserve">Confirm SN8 250 mm availability.</t>
  </si>
  <si>
    <t xml:space="preserve">9.16.7</t>
  </si>
  <si>
    <t xml:space="preserve">Confirm SN8 300 mm availability.</t>
  </si>
  <si>
    <t xml:space="preserve">12.2</t>
  </si>
  <si>
    <t xml:space="preserve">PVC pipe 110 mm outer dia, 2 kg per sqm, for weep holes through the full width of the structure (pipe supply only).</t>
  </si>
  <si>
    <t xml:space="preserve">BOQ item is composite (masonry + pipe). Quote pipe supply only; item code printed as 12.2 on two lines, verify.</t>
  </si>
  <si>
    <t xml:space="preserve">B. Other pipe items in the BOQ (not in our standard range: review)</t>
  </si>
  <si>
    <t xml:space="preserve">Glazed stoneware pipe, IS 651:1992 / IS 4127 (house service connection).</t>
  </si>
  <si>
    <t xml:space="preserve">Not HDPE/PVC. Quote or delete after review.</t>
  </si>
  <si>
    <t xml:space="preserve">16.1.1</t>
  </si>
  <si>
    <t xml:space="preserve">16.1.2</t>
  </si>
  <si>
    <t xml:space="preserve">Glazed stoneware pipe, IS 651:1992 / IS 4127.</t>
  </si>
  <si>
    <t xml:space="preserve">16.1.4</t>
  </si>
  <si>
    <t xml:space="preserve">Sub-total</t>
  </si>
  <si>
    <t xml:space="preserve">Discount % (optional)</t>
  </si>
  <si>
    <t xml:space="preserve">Discount amount</t>
  </si>
  <si>
    <t xml:space="preserve">Freight / loading (optional)</t>
  </si>
  <si>
    <t xml:space="preserve">Taxable value</t>
  </si>
  <si>
    <t xml:space="preserve">CGST</t>
  </si>
  <si>
    <t xml:space="preserve">SGST</t>
  </si>
  <si>
    <t xml:space="preserve">IGST</t>
  </si>
  <si>
    <t xml:space="preserve">GRAND TOTAL (Rs)</t>
  </si>
  <si>
    <t xml:space="preserve">Amount in words:</t>
  </si>
  <si>
    <t xml:space="preserve">[type the grand total in words once rates are filled]</t>
  </si>
  <si>
    <t xml:space="preserve">Terms &amp; conditions</t>
  </si>
  <si>
    <t xml:space="preserve">• Scope: SUPPLY ONLY of pipes. Excavation, laying, jointing, testing, special fittings (saddle tee, stub ends, flanged sets, bends, reducers) and water for testing are excluded unless stated. Fittings quoted separately on request.</t>
  </si>
  <si>
    <t xml:space="preserve">• Prices: ex-works / delivered to site: [select and fill]. Freight and unloading as per the line above.</t>
  </si>
  <si>
    <t xml:space="preserve">• GST: as applicable and shown above. Rates exclude any other taxes or levies.</t>
  </si>
  <si>
    <t xml:space="preserve">• Payment terms: [to fill].</t>
  </si>
  <si>
    <t xml:space="preserve">• Delivery: [to fill] weeks from receipt of confirmed purchase order / site schedule.</t>
  </si>
  <si>
    <t xml:space="preserve">• Validity: as stated in the header from the date of quotation.</t>
  </si>
  <si>
    <t xml:space="preserve">• Material conforms to the IS standards quoted in the description. Test certificates supplied with each lot.</t>
  </si>
  <si>
    <t xml:space="preserve">• Bank details: [Bank name, account name, account number, IFSC]  (fill before sending).</t>
  </si>
  <si>
    <t xml:space="preserve">For SUDARSHAN PIPES</t>
  </si>
  <si>
    <t xml:space="preserve">Authorised signatory</t>
  </si>
  <si>
    <t xml:space="preserve">Legend: yellow cells with blue text are inputs. Enter Rate (column H); amounts, tax and total calculate automatically. Delete any row you will not quote. Rates are intentionally blank.</t>
  </si>
  <si>
    <t xml:space="preserve">INTERNAL REFERENCE: contract rates from the BOQ (the contractor's rates for supply + laying + jointing + testing). NEVER use as our rate. Do not send this sheet.</t>
  </si>
  <si>
    <t xml:space="preserve">BOQ S.No</t>
  </si>
  <si>
    <t xml:space="preserve">Item Code</t>
  </si>
  <si>
    <t xml:space="preserve">Qty (BOQ)</t>
  </si>
  <si>
    <t xml:space="preserve">Contract rate (ref)</t>
  </si>
  <si>
    <t xml:space="preserve">Contract amount (BOQ)</t>
  </si>
  <si>
    <t xml:space="preserve">Qty x rate (check)</t>
  </si>
  <si>
    <t xml:space="preserve">Difference</t>
  </si>
  <si>
    <t xml:space="preserve">Our rate (from Quotation)</t>
  </si>
  <si>
    <t xml:space="preserve">Our rate vs contract rate</t>
  </si>
  <si>
    <t xml:space="preserve">Source: BOQ pages 2, 12, 13 (rate and amount as printed). Difference column should be 0 (tolerance Rs 1); blue = typed from the scan.</t>
  </si>
  <si>
    <t xml:space="preserve">Contract rate includes laying, jointing, testing and the contractor's margin, so it is only a rough ceiling for a supply-only price.</t>
  </si>
</sst>
</file>

<file path=xl/styles.xml><?xml version="1.0" encoding="utf-8"?>
<styleSheet xmlns="http://schemas.openxmlformats.org/spreadsheetml/2006/main">
  <numFmts count="4">
    <numFmt numFmtId="164" formatCode="General"/>
    <numFmt numFmtId="165" formatCode="0%"/>
    <numFmt numFmtId="166" formatCode="#,##0.00"/>
    <numFmt numFmtId="167" formatCode="0.0%"/>
  </numFmts>
  <fonts count="13">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10"/>
      <name val="Arial"/>
      <family val="0"/>
      <charset val="1"/>
    </font>
    <font>
      <b val="true"/>
      <sz val="13"/>
      <name val="Arial"/>
      <family val="0"/>
      <charset val="1"/>
    </font>
    <font>
      <b val="true"/>
      <sz val="10"/>
      <name val="Arial"/>
      <family val="0"/>
      <charset val="1"/>
    </font>
    <font>
      <sz val="10"/>
      <name val="Arial"/>
      <family val="0"/>
      <charset val="1"/>
    </font>
    <font>
      <sz val="10"/>
      <color rgb="FF0000FF"/>
      <name val="Arial"/>
      <family val="0"/>
      <charset val="1"/>
    </font>
    <font>
      <sz val="10"/>
      <color rgb="FF000000"/>
      <name val="Arial"/>
      <family val="0"/>
      <charset val="1"/>
    </font>
    <font>
      <b val="true"/>
      <sz val="10"/>
      <color rgb="FF000000"/>
      <name val="Arial"/>
      <family val="0"/>
      <charset val="1"/>
    </font>
    <font>
      <b val="true"/>
      <sz val="10"/>
      <color rgb="FFC00000"/>
      <name val="Arial"/>
      <family val="0"/>
      <charset val="1"/>
    </font>
  </fonts>
  <fills count="5">
    <fill>
      <patternFill patternType="none"/>
    </fill>
    <fill>
      <patternFill patternType="gray125"/>
    </fill>
    <fill>
      <patternFill patternType="solid">
        <fgColor rgb="FFD9E1F2"/>
        <bgColor rgb="FFEDEDED"/>
      </patternFill>
    </fill>
    <fill>
      <patternFill patternType="solid">
        <fgColor rgb="FFFFF2CC"/>
        <bgColor rgb="FFEDEDED"/>
      </patternFill>
    </fill>
    <fill>
      <patternFill patternType="solid">
        <fgColor rgb="FFEDEDED"/>
        <bgColor rgb="FFD9E1F2"/>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2"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3" borderId="0" xfId="0" applyFont="true" applyBorder="true" applyAlignment="true" applyProtection="false">
      <alignment horizontal="left" vertical="top" textRotation="0" wrapText="false" indent="0" shrinkToFit="false"/>
      <protection locked="true" hidden="false"/>
    </xf>
    <xf numFmtId="165" fontId="9" fillId="3" borderId="0" xfId="0" applyFont="true" applyBorder="true" applyAlignment="true" applyProtection="false">
      <alignment horizontal="left" vertical="top"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4"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6" fontId="9"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right"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right"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6" fontId="11" fillId="2" borderId="1"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DEDED"/>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11"/>
    <col collapsed="false" customWidth="true" hidden="false" outlineLevel="0" max="4" min="4" style="0" width="52"/>
    <col collapsed="false" customWidth="true" hidden="false" outlineLevel="0" max="5" min="5" style="0" width="9"/>
    <col collapsed="false" customWidth="true" hidden="false" outlineLevel="0" max="6" min="6" style="0" width="8"/>
    <col collapsed="false" customWidth="true" hidden="false" outlineLevel="0" max="8" min="7" style="0" width="13"/>
    <col collapsed="false" customWidth="true" hidden="false" outlineLevel="0" max="9" min="9" style="0" width="15"/>
    <col collapsed="false" customWidth="true" hidden="false" outlineLevel="0" max="10" min="10" style="0" width="9"/>
    <col collapsed="false" customWidth="true" hidden="false" outlineLevel="0" max="11" min="11" style="0" width="34"/>
    <col collapsed="false" customWidth="true" hidden="true" outlineLevel="0" max="12" min="12" style="0" width="11.53"/>
  </cols>
  <sheetData>
    <row r="1" customFormat="false" ht="19.7" hidden="false" customHeight="false" outlineLevel="0" collapsed="false">
      <c r="A1" s="1" t="s">
        <v>0</v>
      </c>
      <c r="B1" s="1"/>
      <c r="C1" s="1"/>
      <c r="D1" s="1"/>
      <c r="E1" s="1"/>
      <c r="F1" s="1"/>
      <c r="G1" s="1"/>
      <c r="H1" s="1"/>
      <c r="I1" s="1"/>
      <c r="J1" s="1"/>
      <c r="K1" s="1"/>
    </row>
    <row r="2" customFormat="false" ht="15" hidden="false" customHeight="false" outlineLevel="0" collapsed="false">
      <c r="A2" s="2" t="s">
        <v>1</v>
      </c>
      <c r="B2" s="2"/>
      <c r="C2" s="2"/>
      <c r="D2" s="2"/>
      <c r="E2" s="2"/>
      <c r="F2" s="2"/>
      <c r="G2" s="2"/>
      <c r="H2" s="2"/>
      <c r="I2" s="2"/>
      <c r="J2" s="2"/>
      <c r="K2" s="2"/>
    </row>
    <row r="3" customFormat="false" ht="16.15" hidden="false" customHeight="false" outlineLevel="0" collapsed="false">
      <c r="A3" s="3" t="s">
        <v>2</v>
      </c>
      <c r="B3" s="3"/>
      <c r="C3" s="3"/>
      <c r="D3" s="3"/>
      <c r="E3" s="3"/>
      <c r="F3" s="3"/>
      <c r="G3" s="3"/>
      <c r="H3" s="3"/>
      <c r="I3" s="3"/>
      <c r="J3" s="3"/>
      <c r="K3" s="3"/>
    </row>
    <row r="5" customFormat="false" ht="15" hidden="false" customHeight="true" outlineLevel="0" collapsed="false">
      <c r="A5" s="4" t="s">
        <v>3</v>
      </c>
      <c r="B5" s="4"/>
      <c r="C5" s="5" t="s">
        <v>4</v>
      </c>
      <c r="D5" s="5"/>
      <c r="E5" s="5"/>
      <c r="F5" s="5"/>
      <c r="G5" s="5"/>
      <c r="H5" s="4" t="s">
        <v>5</v>
      </c>
      <c r="I5" s="4"/>
      <c r="J5" s="6" t="s">
        <v>6</v>
      </c>
      <c r="K5" s="6"/>
    </row>
    <row r="6" customFormat="false" ht="54" hidden="false" customHeight="true" outlineLevel="0" collapsed="false">
      <c r="A6" s="4" t="s">
        <v>7</v>
      </c>
      <c r="B6" s="4"/>
      <c r="C6" s="5" t="s">
        <v>8</v>
      </c>
      <c r="D6" s="5"/>
      <c r="E6" s="5"/>
      <c r="F6" s="5"/>
      <c r="G6" s="5"/>
      <c r="H6" s="4" t="s">
        <v>9</v>
      </c>
      <c r="I6" s="4"/>
      <c r="J6" s="6" t="n">
        <v>30</v>
      </c>
      <c r="K6" s="6"/>
    </row>
    <row r="7" customFormat="false" ht="54" hidden="false" customHeight="true" outlineLevel="0" collapsed="false">
      <c r="A7" s="4" t="s">
        <v>10</v>
      </c>
      <c r="B7" s="4"/>
      <c r="C7" s="5" t="s">
        <v>11</v>
      </c>
      <c r="D7" s="5"/>
      <c r="E7" s="5"/>
      <c r="F7" s="5"/>
      <c r="G7" s="5"/>
      <c r="H7" s="4" t="s">
        <v>12</v>
      </c>
      <c r="I7" s="4"/>
      <c r="J7" s="6" t="s">
        <v>13</v>
      </c>
      <c r="K7" s="6"/>
    </row>
    <row r="8" customFormat="false" ht="54" hidden="false" customHeight="true" outlineLevel="0" collapsed="false">
      <c r="A8" s="4" t="s">
        <v>14</v>
      </c>
      <c r="B8" s="4"/>
      <c r="C8" s="5" t="s">
        <v>15</v>
      </c>
      <c r="D8" s="5"/>
      <c r="E8" s="5"/>
      <c r="F8" s="5"/>
      <c r="G8" s="5"/>
      <c r="H8" s="4" t="s">
        <v>16</v>
      </c>
      <c r="I8" s="4"/>
      <c r="J8" s="7" t="n">
        <v>0.18</v>
      </c>
      <c r="K8" s="7"/>
    </row>
    <row r="10" customFormat="false" ht="30" hidden="false" customHeight="true" outlineLevel="0" collapsed="false">
      <c r="A10" s="8" t="s">
        <v>17</v>
      </c>
      <c r="B10" s="8" t="s">
        <v>18</v>
      </c>
      <c r="C10" s="8" t="s">
        <v>19</v>
      </c>
      <c r="D10" s="8" t="s">
        <v>20</v>
      </c>
      <c r="E10" s="8" t="s">
        <v>21</v>
      </c>
      <c r="F10" s="8" t="s">
        <v>22</v>
      </c>
      <c r="G10" s="8" t="s">
        <v>23</v>
      </c>
      <c r="H10" s="8" t="s">
        <v>24</v>
      </c>
      <c r="I10" s="8" t="s">
        <v>25</v>
      </c>
      <c r="J10" s="8" t="s">
        <v>26</v>
      </c>
      <c r="K10" s="8" t="s">
        <v>27</v>
      </c>
    </row>
    <row r="11" customFormat="false" ht="15" hidden="false" customHeight="false" outlineLevel="0" collapsed="false">
      <c r="A11" s="9" t="s">
        <v>28</v>
      </c>
      <c r="B11" s="9"/>
      <c r="C11" s="9"/>
      <c r="D11" s="9"/>
      <c r="E11" s="9"/>
      <c r="F11" s="9"/>
      <c r="G11" s="9"/>
      <c r="H11" s="9"/>
      <c r="I11" s="9"/>
      <c r="J11" s="9"/>
      <c r="K11" s="9"/>
    </row>
    <row r="12" customFormat="false" ht="57.75" hidden="false" customHeight="true" outlineLevel="0" collapsed="false">
      <c r="A12" s="10" t="n">
        <v>1</v>
      </c>
      <c r="B12" s="10" t="n">
        <v>72</v>
      </c>
      <c r="C12" s="10" t="s">
        <v>29</v>
      </c>
      <c r="D12" s="10" t="s">
        <v>30</v>
      </c>
      <c r="E12" s="10" t="n">
        <v>110</v>
      </c>
      <c r="F12" s="10" t="s">
        <v>31</v>
      </c>
      <c r="G12" s="11" t="n">
        <v>45398.8</v>
      </c>
      <c r="H12" s="12"/>
      <c r="I12" s="11" t="str">
        <f aca="false">IF(H12="","",ROUND(G12*H12,2))</f>
        <v/>
      </c>
      <c r="J12" s="10" t="s">
        <v>32</v>
      </c>
      <c r="K12" s="10" t="s">
        <v>33</v>
      </c>
    </row>
    <row r="13" customFormat="false" ht="57.75" hidden="false" customHeight="true" outlineLevel="0" collapsed="false">
      <c r="A13" s="10" t="n">
        <v>2</v>
      </c>
      <c r="B13" s="10" t="n">
        <v>73</v>
      </c>
      <c r="C13" s="10" t="s">
        <v>34</v>
      </c>
      <c r="D13" s="10" t="s">
        <v>35</v>
      </c>
      <c r="E13" s="10" t="n">
        <v>200</v>
      </c>
      <c r="F13" s="10" t="s">
        <v>31</v>
      </c>
      <c r="G13" s="11" t="n">
        <v>22699.4</v>
      </c>
      <c r="H13" s="12"/>
      <c r="I13" s="11" t="str">
        <f aca="false">IF(H13="","",ROUND(G13*H13,2))</f>
        <v/>
      </c>
      <c r="J13" s="10" t="s">
        <v>32</v>
      </c>
      <c r="K13" s="10" t="s">
        <v>36</v>
      </c>
    </row>
    <row r="14" customFormat="false" ht="57.75" hidden="false" customHeight="true" outlineLevel="0" collapsed="false">
      <c r="A14" s="10" t="n">
        <v>3</v>
      </c>
      <c r="B14" s="10" t="n">
        <v>74</v>
      </c>
      <c r="C14" s="10" t="s">
        <v>37</v>
      </c>
      <c r="D14" s="10" t="s">
        <v>38</v>
      </c>
      <c r="E14" s="10" t="n">
        <v>600</v>
      </c>
      <c r="F14" s="10" t="s">
        <v>31</v>
      </c>
      <c r="G14" s="11" t="n">
        <v>1700</v>
      </c>
      <c r="H14" s="12"/>
      <c r="I14" s="11" t="str">
        <f aca="false">IF(H14="","",ROUND(G14*H14,2))</f>
        <v/>
      </c>
      <c r="J14" s="10" t="s">
        <v>32</v>
      </c>
      <c r="K14" s="10" t="s">
        <v>39</v>
      </c>
    </row>
    <row r="15" customFormat="false" ht="57.75" hidden="false" customHeight="true" outlineLevel="0" collapsed="false">
      <c r="A15" s="10" t="n">
        <v>4</v>
      </c>
      <c r="B15" s="10" t="n">
        <v>75</v>
      </c>
      <c r="C15" s="10" t="s">
        <v>40</v>
      </c>
      <c r="D15" s="10" t="s">
        <v>41</v>
      </c>
      <c r="E15" s="10" t="n">
        <v>250</v>
      </c>
      <c r="F15" s="10" t="s">
        <v>31</v>
      </c>
      <c r="G15" s="11" t="n">
        <v>3462</v>
      </c>
      <c r="H15" s="12"/>
      <c r="I15" s="11" t="str">
        <f aca="false">IF(H15="","",ROUND(G15*H15,2))</f>
        <v/>
      </c>
      <c r="J15" s="10" t="s">
        <v>32</v>
      </c>
      <c r="K15" s="10" t="s">
        <v>42</v>
      </c>
    </row>
    <row r="16" customFormat="false" ht="57.75" hidden="false" customHeight="true" outlineLevel="0" collapsed="false">
      <c r="A16" s="10" t="n">
        <v>5</v>
      </c>
      <c r="B16" s="10" t="n">
        <v>76</v>
      </c>
      <c r="C16" s="10" t="s">
        <v>43</v>
      </c>
      <c r="D16" s="10" t="s">
        <v>41</v>
      </c>
      <c r="E16" s="10" t="n">
        <v>300</v>
      </c>
      <c r="F16" s="10" t="s">
        <v>31</v>
      </c>
      <c r="G16" s="11" t="n">
        <v>2368</v>
      </c>
      <c r="H16" s="12"/>
      <c r="I16" s="11" t="str">
        <f aca="false">IF(H16="","",ROUND(G16*H16,2))</f>
        <v/>
      </c>
      <c r="J16" s="10" t="s">
        <v>32</v>
      </c>
      <c r="K16" s="10" t="s">
        <v>44</v>
      </c>
    </row>
    <row r="17" customFormat="false" ht="57.75" hidden="false" customHeight="true" outlineLevel="0" collapsed="false">
      <c r="A17" s="10" t="n">
        <v>6</v>
      </c>
      <c r="B17" s="10" t="n">
        <v>11</v>
      </c>
      <c r="C17" s="10" t="s">
        <v>45</v>
      </c>
      <c r="D17" s="10" t="s">
        <v>46</v>
      </c>
      <c r="E17" s="10" t="n">
        <v>110</v>
      </c>
      <c r="F17" s="10" t="s">
        <v>31</v>
      </c>
      <c r="G17" s="11" t="n">
        <v>459.8</v>
      </c>
      <c r="H17" s="12"/>
      <c r="I17" s="11" t="str">
        <f aca="false">IF(H17="","",ROUND(G17*H17,2))</f>
        <v/>
      </c>
      <c r="J17" s="10" t="s">
        <v>32</v>
      </c>
      <c r="K17" s="10" t="s">
        <v>47</v>
      </c>
    </row>
    <row r="18" customFormat="false" ht="15" hidden="false" customHeight="false" outlineLevel="0" collapsed="false">
      <c r="A18" s="9" t="s">
        <v>48</v>
      </c>
      <c r="B18" s="9"/>
      <c r="C18" s="9"/>
      <c r="D18" s="9"/>
      <c r="E18" s="9"/>
      <c r="F18" s="9"/>
      <c r="G18" s="9"/>
      <c r="H18" s="9"/>
      <c r="I18" s="9"/>
      <c r="J18" s="9"/>
      <c r="K18" s="9"/>
    </row>
    <row r="19" customFormat="false" ht="57.75" hidden="false" customHeight="true" outlineLevel="0" collapsed="false">
      <c r="A19" s="10" t="n">
        <v>7</v>
      </c>
      <c r="B19" s="10" t="n">
        <v>12</v>
      </c>
      <c r="C19" s="10" t="s">
        <v>45</v>
      </c>
      <c r="D19" s="10" t="s">
        <v>49</v>
      </c>
      <c r="E19" s="10" t="n">
        <v>100</v>
      </c>
      <c r="F19" s="10" t="s">
        <v>31</v>
      </c>
      <c r="G19" s="11" t="n">
        <v>135</v>
      </c>
      <c r="H19" s="12"/>
      <c r="I19" s="11" t="str">
        <f aca="false">IF(H19="","",ROUND(G19*H19,2))</f>
        <v/>
      </c>
      <c r="J19" s="10"/>
      <c r="K19" s="10" t="s">
        <v>50</v>
      </c>
    </row>
    <row r="20" customFormat="false" ht="57.75" hidden="false" customHeight="true" outlineLevel="0" collapsed="false">
      <c r="A20" s="10" t="n">
        <v>8</v>
      </c>
      <c r="B20" s="10" t="n">
        <v>13</v>
      </c>
      <c r="C20" s="10" t="s">
        <v>51</v>
      </c>
      <c r="D20" s="10" t="s">
        <v>49</v>
      </c>
      <c r="E20" s="10" t="n">
        <v>100</v>
      </c>
      <c r="F20" s="10" t="s">
        <v>31</v>
      </c>
      <c r="G20" s="11" t="n">
        <v>1156</v>
      </c>
      <c r="H20" s="12"/>
      <c r="I20" s="11" t="str">
        <f aca="false">IF(H20="","",ROUND(G20*H20,2))</f>
        <v/>
      </c>
      <c r="J20" s="10"/>
      <c r="K20" s="10" t="s">
        <v>50</v>
      </c>
    </row>
    <row r="21" customFormat="false" ht="57.75" hidden="false" customHeight="true" outlineLevel="0" collapsed="false">
      <c r="A21" s="10" t="n">
        <v>9</v>
      </c>
      <c r="B21" s="10" t="n">
        <v>14</v>
      </c>
      <c r="C21" s="10" t="s">
        <v>52</v>
      </c>
      <c r="D21" s="10" t="s">
        <v>53</v>
      </c>
      <c r="E21" s="10" t="n">
        <v>150</v>
      </c>
      <c r="F21" s="10" t="s">
        <v>31</v>
      </c>
      <c r="G21" s="11" t="n">
        <v>2288</v>
      </c>
      <c r="H21" s="12"/>
      <c r="I21" s="11" t="str">
        <f aca="false">IF(H21="","",ROUND(G21*H21,2))</f>
        <v/>
      </c>
      <c r="J21" s="10"/>
      <c r="K21" s="10" t="s">
        <v>50</v>
      </c>
    </row>
    <row r="22" customFormat="false" ht="57.75" hidden="false" customHeight="true" outlineLevel="0" collapsed="false">
      <c r="A22" s="10" t="n">
        <v>10</v>
      </c>
      <c r="B22" s="10" t="n">
        <v>15</v>
      </c>
      <c r="C22" s="10" t="s">
        <v>54</v>
      </c>
      <c r="D22" s="10" t="s">
        <v>53</v>
      </c>
      <c r="E22" s="10" t="n">
        <v>230</v>
      </c>
      <c r="F22" s="10" t="s">
        <v>31</v>
      </c>
      <c r="G22" s="11" t="n">
        <v>573.75</v>
      </c>
      <c r="H22" s="12"/>
      <c r="I22" s="11" t="str">
        <f aca="false">IF(H22="","",ROUND(G22*H22,2))</f>
        <v/>
      </c>
      <c r="J22" s="10"/>
      <c r="K22" s="10" t="s">
        <v>50</v>
      </c>
    </row>
    <row r="24" customFormat="false" ht="15" hidden="false" customHeight="false" outlineLevel="0" collapsed="false">
      <c r="A24" s="13" t="s">
        <v>55</v>
      </c>
      <c r="B24" s="13"/>
      <c r="C24" s="13"/>
      <c r="D24" s="13"/>
      <c r="E24" s="13"/>
      <c r="F24" s="13"/>
      <c r="G24" s="13"/>
      <c r="H24" s="13"/>
      <c r="I24" s="14" t="n">
        <f aca="false">SUM(I11:I22)</f>
        <v>0</v>
      </c>
    </row>
    <row r="25" customFormat="false" ht="15" hidden="false" customHeight="false" outlineLevel="0" collapsed="false">
      <c r="A25" s="13" t="s">
        <v>56</v>
      </c>
      <c r="B25" s="13"/>
      <c r="C25" s="13"/>
      <c r="D25" s="13"/>
      <c r="E25" s="13"/>
      <c r="F25" s="13"/>
      <c r="G25" s="13"/>
      <c r="H25" s="13"/>
      <c r="I25" s="15" t="n">
        <v>0</v>
      </c>
    </row>
    <row r="26" customFormat="false" ht="15" hidden="false" customHeight="false" outlineLevel="0" collapsed="false">
      <c r="A26" s="13" t="s">
        <v>57</v>
      </c>
      <c r="B26" s="13"/>
      <c r="C26" s="13"/>
      <c r="D26" s="13"/>
      <c r="E26" s="13"/>
      <c r="F26" s="13"/>
      <c r="G26" s="13"/>
      <c r="H26" s="13"/>
      <c r="I26" s="14" t="n">
        <f aca="false">ROUND(I24*I25,2)</f>
        <v>0</v>
      </c>
    </row>
    <row r="27" customFormat="false" ht="15" hidden="false" customHeight="false" outlineLevel="0" collapsed="false">
      <c r="A27" s="13" t="s">
        <v>58</v>
      </c>
      <c r="B27" s="13"/>
      <c r="C27" s="13"/>
      <c r="D27" s="13"/>
      <c r="E27" s="13"/>
      <c r="F27" s="13"/>
      <c r="G27" s="13"/>
      <c r="H27" s="13"/>
      <c r="I27" s="16" t="n">
        <v>0</v>
      </c>
    </row>
    <row r="28" customFormat="false" ht="15" hidden="false" customHeight="false" outlineLevel="0" collapsed="false">
      <c r="A28" s="17" t="s">
        <v>59</v>
      </c>
      <c r="B28" s="17"/>
      <c r="C28" s="17"/>
      <c r="D28" s="17"/>
      <c r="E28" s="17"/>
      <c r="F28" s="17"/>
      <c r="G28" s="17"/>
      <c r="H28" s="17"/>
      <c r="I28" s="18" t="n">
        <f aca="false">I24-I26+I27</f>
        <v>0</v>
      </c>
    </row>
    <row r="29" customFormat="false" ht="15" hidden="false" customHeight="false" outlineLevel="0" collapsed="false">
      <c r="A29" s="13" t="s">
        <v>60</v>
      </c>
      <c r="B29" s="13"/>
      <c r="C29" s="13"/>
      <c r="D29" s="13"/>
      <c r="E29" s="13"/>
      <c r="F29" s="13"/>
      <c r="G29" s="13"/>
      <c r="H29" s="13"/>
      <c r="I29" s="14" t="n">
        <f aca="false">IF($J$7="Intra-state (Karnataka)",ROUND(I28*$J$8/2,2),0)</f>
        <v>0</v>
      </c>
    </row>
    <row r="30" customFormat="false" ht="15" hidden="false" customHeight="false" outlineLevel="0" collapsed="false">
      <c r="A30" s="13" t="s">
        <v>61</v>
      </c>
      <c r="B30" s="13"/>
      <c r="C30" s="13"/>
      <c r="D30" s="13"/>
      <c r="E30" s="13"/>
      <c r="F30" s="13"/>
      <c r="G30" s="13"/>
      <c r="H30" s="13"/>
      <c r="I30" s="14" t="n">
        <f aca="false">IF($J$7="Intra-state (Karnataka)",ROUND(I28*$J$8/2,2),0)</f>
        <v>0</v>
      </c>
    </row>
    <row r="31" customFormat="false" ht="15" hidden="false" customHeight="false" outlineLevel="0" collapsed="false">
      <c r="A31" s="13" t="s">
        <v>62</v>
      </c>
      <c r="B31" s="13"/>
      <c r="C31" s="13"/>
      <c r="D31" s="13"/>
      <c r="E31" s="13"/>
      <c r="F31" s="13"/>
      <c r="G31" s="13"/>
      <c r="H31" s="13"/>
      <c r="I31" s="14" t="n">
        <f aca="false">IF($J$7="Inter-state",ROUND(I28*$J$8,2),0)</f>
        <v>0</v>
      </c>
    </row>
    <row r="32" customFormat="false" ht="15" hidden="false" customHeight="false" outlineLevel="0" collapsed="false">
      <c r="A32" s="17" t="s">
        <v>63</v>
      </c>
      <c r="B32" s="17"/>
      <c r="C32" s="17"/>
      <c r="D32" s="17"/>
      <c r="E32" s="17"/>
      <c r="F32" s="17"/>
      <c r="G32" s="17"/>
      <c r="H32" s="17"/>
      <c r="I32" s="19" t="n">
        <f aca="false">I28+I29+I30+I31</f>
        <v>0</v>
      </c>
    </row>
    <row r="34" customFormat="false" ht="15" hidden="false" customHeight="false" outlineLevel="0" collapsed="false">
      <c r="A34" s="4" t="s">
        <v>64</v>
      </c>
      <c r="B34" s="4"/>
      <c r="C34" s="20" t="s">
        <v>65</v>
      </c>
      <c r="D34" s="20"/>
      <c r="E34" s="20"/>
      <c r="F34" s="20"/>
      <c r="G34" s="20"/>
      <c r="H34" s="20"/>
      <c r="I34" s="20"/>
      <c r="J34" s="20"/>
      <c r="K34" s="20"/>
    </row>
    <row r="36" customFormat="false" ht="15" hidden="false" customHeight="false" outlineLevel="0" collapsed="false">
      <c r="A36" s="21" t="s">
        <v>66</v>
      </c>
    </row>
    <row r="37" customFormat="false" ht="27.75" hidden="false" customHeight="true" outlineLevel="0" collapsed="false">
      <c r="A37" s="5" t="s">
        <v>67</v>
      </c>
      <c r="B37" s="5"/>
      <c r="C37" s="5"/>
      <c r="D37" s="5"/>
      <c r="E37" s="5"/>
      <c r="F37" s="5"/>
      <c r="G37" s="5"/>
      <c r="H37" s="5"/>
      <c r="I37" s="5"/>
      <c r="J37" s="5"/>
      <c r="K37" s="5"/>
    </row>
    <row r="38" customFormat="false" ht="27.75" hidden="false" customHeight="true" outlineLevel="0" collapsed="false">
      <c r="A38" s="5" t="s">
        <v>68</v>
      </c>
      <c r="B38" s="5"/>
      <c r="C38" s="5"/>
      <c r="D38" s="5"/>
      <c r="E38" s="5"/>
      <c r="F38" s="5"/>
      <c r="G38" s="5"/>
      <c r="H38" s="5"/>
      <c r="I38" s="5"/>
      <c r="J38" s="5"/>
      <c r="K38" s="5"/>
    </row>
    <row r="39" customFormat="false" ht="27.75" hidden="false" customHeight="true" outlineLevel="0" collapsed="false">
      <c r="A39" s="5" t="s">
        <v>69</v>
      </c>
      <c r="B39" s="5"/>
      <c r="C39" s="5"/>
      <c r="D39" s="5"/>
      <c r="E39" s="5"/>
      <c r="F39" s="5"/>
      <c r="G39" s="5"/>
      <c r="H39" s="5"/>
      <c r="I39" s="5"/>
      <c r="J39" s="5"/>
      <c r="K39" s="5"/>
    </row>
    <row r="40" customFormat="false" ht="27.75" hidden="false" customHeight="true" outlineLevel="0" collapsed="false">
      <c r="A40" s="5" t="s">
        <v>70</v>
      </c>
      <c r="B40" s="5"/>
      <c r="C40" s="5"/>
      <c r="D40" s="5"/>
      <c r="E40" s="5"/>
      <c r="F40" s="5"/>
      <c r="G40" s="5"/>
      <c r="H40" s="5"/>
      <c r="I40" s="5"/>
      <c r="J40" s="5"/>
      <c r="K40" s="5"/>
    </row>
    <row r="41" customFormat="false" ht="27.75" hidden="false" customHeight="true" outlineLevel="0" collapsed="false">
      <c r="A41" s="5" t="s">
        <v>71</v>
      </c>
      <c r="B41" s="5"/>
      <c r="C41" s="5"/>
      <c r="D41" s="5"/>
      <c r="E41" s="5"/>
      <c r="F41" s="5"/>
      <c r="G41" s="5"/>
      <c r="H41" s="5"/>
      <c r="I41" s="5"/>
      <c r="J41" s="5"/>
      <c r="K41" s="5"/>
    </row>
    <row r="42" customFormat="false" ht="27.75" hidden="false" customHeight="true" outlineLevel="0" collapsed="false">
      <c r="A42" s="5" t="s">
        <v>72</v>
      </c>
      <c r="B42" s="5"/>
      <c r="C42" s="5"/>
      <c r="D42" s="5"/>
      <c r="E42" s="5"/>
      <c r="F42" s="5"/>
      <c r="G42" s="5"/>
      <c r="H42" s="5"/>
      <c r="I42" s="5"/>
      <c r="J42" s="5"/>
      <c r="K42" s="5"/>
    </row>
    <row r="43" customFormat="false" ht="27.75" hidden="false" customHeight="true" outlineLevel="0" collapsed="false">
      <c r="A43" s="5" t="s">
        <v>73</v>
      </c>
      <c r="B43" s="5"/>
      <c r="C43" s="5"/>
      <c r="D43" s="5"/>
      <c r="E43" s="5"/>
      <c r="F43" s="5"/>
      <c r="G43" s="5"/>
      <c r="H43" s="5"/>
      <c r="I43" s="5"/>
      <c r="J43" s="5"/>
      <c r="K43" s="5"/>
    </row>
    <row r="44" customFormat="false" ht="27.75" hidden="false" customHeight="true" outlineLevel="0" collapsed="false">
      <c r="A44" s="5" t="s">
        <v>74</v>
      </c>
      <c r="B44" s="5"/>
      <c r="C44" s="5"/>
      <c r="D44" s="5"/>
      <c r="E44" s="5"/>
      <c r="F44" s="5"/>
      <c r="G44" s="5"/>
      <c r="H44" s="5"/>
      <c r="I44" s="5"/>
      <c r="J44" s="5"/>
      <c r="K44" s="5"/>
    </row>
    <row r="46" customFormat="false" ht="15" hidden="false" customHeight="false" outlineLevel="0" collapsed="false">
      <c r="A46" s="21" t="s">
        <v>75</v>
      </c>
    </row>
    <row r="49" customFormat="false" ht="15" hidden="false" customHeight="false" outlineLevel="0" collapsed="false">
      <c r="A49" s="22" t="s">
        <v>76</v>
      </c>
    </row>
    <row r="51" customFormat="false" ht="27.75" hidden="false" customHeight="true" outlineLevel="0" collapsed="false">
      <c r="A51" s="23" t="s">
        <v>77</v>
      </c>
      <c r="B51" s="23"/>
      <c r="C51" s="23"/>
      <c r="D51" s="23"/>
      <c r="E51" s="23"/>
      <c r="F51" s="23"/>
      <c r="G51" s="23"/>
      <c r="H51" s="23"/>
      <c r="I51" s="23"/>
      <c r="J51" s="23"/>
      <c r="K51" s="23"/>
    </row>
  </sheetData>
  <mergeCells count="41">
    <mergeCell ref="A1:K1"/>
    <mergeCell ref="A2:K2"/>
    <mergeCell ref="A3:K3"/>
    <mergeCell ref="A5:B5"/>
    <mergeCell ref="C5:G5"/>
    <mergeCell ref="H5:I5"/>
    <mergeCell ref="J5:K5"/>
    <mergeCell ref="A6:B6"/>
    <mergeCell ref="C6:G6"/>
    <mergeCell ref="H6:I6"/>
    <mergeCell ref="J6:K6"/>
    <mergeCell ref="A7:B7"/>
    <mergeCell ref="C7:G7"/>
    <mergeCell ref="H7:I7"/>
    <mergeCell ref="J7:K7"/>
    <mergeCell ref="A8:B8"/>
    <mergeCell ref="C8:G8"/>
    <mergeCell ref="H8:I8"/>
    <mergeCell ref="J8:K8"/>
    <mergeCell ref="A11:K11"/>
    <mergeCell ref="A18:K18"/>
    <mergeCell ref="A24:H24"/>
    <mergeCell ref="A25:H25"/>
    <mergeCell ref="A26:H26"/>
    <mergeCell ref="A27:H27"/>
    <mergeCell ref="A28:H28"/>
    <mergeCell ref="A29:H29"/>
    <mergeCell ref="A30:H30"/>
    <mergeCell ref="A31:H31"/>
    <mergeCell ref="A32:H32"/>
    <mergeCell ref="A34:B34"/>
    <mergeCell ref="C34:K34"/>
    <mergeCell ref="A37:K37"/>
    <mergeCell ref="A38:K38"/>
    <mergeCell ref="A39:K39"/>
    <mergeCell ref="A40:K40"/>
    <mergeCell ref="A41:K41"/>
    <mergeCell ref="A42:K42"/>
    <mergeCell ref="A43:K43"/>
    <mergeCell ref="A44:K44"/>
    <mergeCell ref="A51:K51"/>
  </mergeCells>
  <dataValidations count="1">
    <dataValidation allowBlank="false" errorStyle="stop" operator="between" showDropDown="false" showErrorMessage="false" showInputMessage="false" sqref="J7" type="list">
      <formula1>"Intra-state (Karnataka),Inter-state"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8"/>
    <col collapsed="false" customWidth="true" hidden="false" outlineLevel="0" max="4" min="4" style="0" width="13"/>
    <col collapsed="false" customWidth="true" hidden="false" outlineLevel="0" max="5" min="5" style="0" width="14"/>
    <col collapsed="false" customWidth="true" hidden="false" outlineLevel="0" max="6" min="6" style="0" width="18"/>
    <col collapsed="false" customWidth="true" hidden="false" outlineLevel="0" max="7" min="7" style="0" width="16"/>
    <col collapsed="false" customWidth="true" hidden="false" outlineLevel="0" max="8" min="8" style="0" width="12"/>
    <col collapsed="false" customWidth="true" hidden="false" outlineLevel="0" max="9" min="9" style="0" width="16"/>
    <col collapsed="false" customWidth="true" hidden="false" outlineLevel="0" max="10" min="10" style="0" width="26"/>
  </cols>
  <sheetData>
    <row r="1" customFormat="false" ht="15" hidden="false" customHeight="false" outlineLevel="0" collapsed="false">
      <c r="A1" s="24" t="s">
        <v>78</v>
      </c>
    </row>
    <row r="3" customFormat="false" ht="42" hidden="false" customHeight="true" outlineLevel="0" collapsed="false">
      <c r="A3" s="25" t="s">
        <v>79</v>
      </c>
      <c r="B3" s="25" t="s">
        <v>80</v>
      </c>
      <c r="C3" s="25" t="s">
        <v>22</v>
      </c>
      <c r="D3" s="25" t="s">
        <v>81</v>
      </c>
      <c r="E3" s="25" t="s">
        <v>82</v>
      </c>
      <c r="F3" s="25" t="s">
        <v>83</v>
      </c>
      <c r="G3" s="25" t="s">
        <v>84</v>
      </c>
      <c r="H3" s="25" t="s">
        <v>85</v>
      </c>
      <c r="I3" s="25" t="s">
        <v>86</v>
      </c>
      <c r="J3" s="25" t="s">
        <v>87</v>
      </c>
    </row>
    <row r="4" customFormat="false" ht="15" hidden="false" customHeight="false" outlineLevel="0" collapsed="false">
      <c r="A4" s="26" t="n">
        <v>72</v>
      </c>
      <c r="B4" s="26" t="s">
        <v>29</v>
      </c>
      <c r="C4" s="26" t="s">
        <v>31</v>
      </c>
      <c r="D4" s="14" t="n">
        <f aca="false">Quotation!G12</f>
        <v>45398.8</v>
      </c>
      <c r="E4" s="27" t="n">
        <v>470</v>
      </c>
      <c r="F4" s="27" t="n">
        <v>21337436</v>
      </c>
      <c r="G4" s="14" t="n">
        <f aca="false">ROUND(D4*E4,2)</f>
        <v>21337436</v>
      </c>
      <c r="H4" s="14" t="n">
        <f aca="false">ROUND(F4-G4,2)</f>
        <v>0</v>
      </c>
      <c r="I4" s="14" t="str">
        <f aca="false">IF(Quotation!H12="","",Quotation!H12)</f>
        <v/>
      </c>
      <c r="J4" s="26" t="str">
        <f aca="false">IF(I4="","",IF(I4&gt;E4,"ABOVE contract rate: check","OK"))</f>
        <v/>
      </c>
    </row>
    <row r="5" customFormat="false" ht="15" hidden="false" customHeight="false" outlineLevel="0" collapsed="false">
      <c r="A5" s="26" t="n">
        <v>73</v>
      </c>
      <c r="B5" s="26" t="s">
        <v>34</v>
      </c>
      <c r="C5" s="26" t="s">
        <v>31</v>
      </c>
      <c r="D5" s="14" t="n">
        <f aca="false">Quotation!G13</f>
        <v>22699.4</v>
      </c>
      <c r="E5" s="27" t="n">
        <v>1500</v>
      </c>
      <c r="F5" s="27" t="n">
        <v>34049100</v>
      </c>
      <c r="G5" s="14" t="n">
        <f aca="false">ROUND(D5*E5,2)</f>
        <v>34049100</v>
      </c>
      <c r="H5" s="14" t="n">
        <f aca="false">ROUND(F5-G5,2)</f>
        <v>0</v>
      </c>
      <c r="I5" s="14" t="str">
        <f aca="false">IF(Quotation!H13="","",Quotation!H13)</f>
        <v/>
      </c>
      <c r="J5" s="26" t="str">
        <f aca="false">IF(I5="","",IF(I5&gt;E5,"ABOVE contract rate: check","OK"))</f>
        <v/>
      </c>
    </row>
    <row r="6" customFormat="false" ht="15" hidden="false" customHeight="false" outlineLevel="0" collapsed="false">
      <c r="A6" s="26" t="n">
        <v>74</v>
      </c>
      <c r="B6" s="26" t="s">
        <v>37</v>
      </c>
      <c r="C6" s="26" t="s">
        <v>31</v>
      </c>
      <c r="D6" s="14" t="n">
        <f aca="false">Quotation!G14</f>
        <v>1700</v>
      </c>
      <c r="E6" s="27" t="n">
        <v>6406</v>
      </c>
      <c r="F6" s="27" t="n">
        <v>10890200</v>
      </c>
      <c r="G6" s="14" t="n">
        <f aca="false">ROUND(D6*E6,2)</f>
        <v>10890200</v>
      </c>
      <c r="H6" s="14" t="n">
        <f aca="false">ROUND(F6-G6,2)</f>
        <v>0</v>
      </c>
      <c r="I6" s="14" t="str">
        <f aca="false">IF(Quotation!H14="","",Quotation!H14)</f>
        <v/>
      </c>
      <c r="J6" s="26" t="str">
        <f aca="false">IF(I6="","",IF(I6&gt;E6,"ABOVE contract rate: check","OK"))</f>
        <v/>
      </c>
    </row>
    <row r="7" customFormat="false" ht="15" hidden="false" customHeight="false" outlineLevel="0" collapsed="false">
      <c r="A7" s="26" t="n">
        <v>75</v>
      </c>
      <c r="B7" s="26" t="s">
        <v>40</v>
      </c>
      <c r="C7" s="26" t="s">
        <v>31</v>
      </c>
      <c r="D7" s="14" t="n">
        <f aca="false">Quotation!G15</f>
        <v>3462</v>
      </c>
      <c r="E7" s="27" t="n">
        <v>1244</v>
      </c>
      <c r="F7" s="27" t="n">
        <v>4306728</v>
      </c>
      <c r="G7" s="14" t="n">
        <f aca="false">ROUND(D7*E7,2)</f>
        <v>4306728</v>
      </c>
      <c r="H7" s="14" t="n">
        <f aca="false">ROUND(F7-G7,2)</f>
        <v>0</v>
      </c>
      <c r="I7" s="14" t="str">
        <f aca="false">IF(Quotation!H15="","",Quotation!H15)</f>
        <v/>
      </c>
      <c r="J7" s="26" t="str">
        <f aca="false">IF(I7="","",IF(I7&gt;E7,"ABOVE contract rate: check","OK"))</f>
        <v/>
      </c>
    </row>
    <row r="8" customFormat="false" ht="15" hidden="false" customHeight="false" outlineLevel="0" collapsed="false">
      <c r="A8" s="26" t="n">
        <v>76</v>
      </c>
      <c r="B8" s="26" t="s">
        <v>43</v>
      </c>
      <c r="C8" s="26" t="s">
        <v>31</v>
      </c>
      <c r="D8" s="14" t="n">
        <f aca="false">Quotation!G16</f>
        <v>2368</v>
      </c>
      <c r="E8" s="27" t="n">
        <v>1655</v>
      </c>
      <c r="F8" s="27" t="n">
        <v>3919040</v>
      </c>
      <c r="G8" s="14" t="n">
        <f aca="false">ROUND(D8*E8,2)</f>
        <v>3919040</v>
      </c>
      <c r="H8" s="14" t="n">
        <f aca="false">ROUND(F8-G8,2)</f>
        <v>0</v>
      </c>
      <c r="I8" s="14" t="str">
        <f aca="false">IF(Quotation!H16="","",Quotation!H16)</f>
        <v/>
      </c>
      <c r="J8" s="26" t="str">
        <f aca="false">IF(I8="","",IF(I8&gt;E8,"ABOVE contract rate: check","OK"))</f>
        <v/>
      </c>
    </row>
    <row r="9" customFormat="false" ht="15" hidden="false" customHeight="false" outlineLevel="0" collapsed="false">
      <c r="A9" s="26" t="n">
        <v>11</v>
      </c>
      <c r="B9" s="26" t="s">
        <v>45</v>
      </c>
      <c r="C9" s="26" t="s">
        <v>31</v>
      </c>
      <c r="D9" s="14" t="n">
        <f aca="false">Quotation!G17</f>
        <v>459.8</v>
      </c>
      <c r="E9" s="27" t="n">
        <v>263</v>
      </c>
      <c r="F9" s="27" t="n">
        <v>120927.4</v>
      </c>
      <c r="G9" s="14" t="n">
        <f aca="false">ROUND(D9*E9,2)</f>
        <v>120927.4</v>
      </c>
      <c r="H9" s="14" t="n">
        <f aca="false">ROUND(F9-G9,2)</f>
        <v>0</v>
      </c>
      <c r="I9" s="14" t="str">
        <f aca="false">IF(Quotation!H17="","",Quotation!H17)</f>
        <v/>
      </c>
      <c r="J9" s="26" t="str">
        <f aca="false">IF(I9="","",IF(I9&gt;E9,"ABOVE contract rate: check","OK"))</f>
        <v/>
      </c>
    </row>
    <row r="10" customFormat="false" ht="15" hidden="false" customHeight="false" outlineLevel="0" collapsed="false">
      <c r="A10" s="26" t="n">
        <v>12</v>
      </c>
      <c r="B10" s="26" t="s">
        <v>45</v>
      </c>
      <c r="C10" s="26" t="s">
        <v>31</v>
      </c>
      <c r="D10" s="14" t="n">
        <f aca="false">Quotation!G19</f>
        <v>135</v>
      </c>
      <c r="E10" s="27" t="n">
        <v>407</v>
      </c>
      <c r="F10" s="27" t="n">
        <v>54945</v>
      </c>
      <c r="G10" s="14" t="n">
        <f aca="false">ROUND(D10*E10,2)</f>
        <v>54945</v>
      </c>
      <c r="H10" s="14" t="n">
        <f aca="false">ROUND(F10-G10,2)</f>
        <v>0</v>
      </c>
      <c r="I10" s="14" t="str">
        <f aca="false">IF(Quotation!H19="","",Quotation!H19)</f>
        <v/>
      </c>
      <c r="J10" s="26" t="str">
        <f aca="false">IF(I10="","",IF(I10&gt;E10,"ABOVE contract rate: check","OK"))</f>
        <v/>
      </c>
    </row>
    <row r="11" customFormat="false" ht="15" hidden="false" customHeight="false" outlineLevel="0" collapsed="false">
      <c r="A11" s="26" t="n">
        <v>13</v>
      </c>
      <c r="B11" s="26" t="s">
        <v>51</v>
      </c>
      <c r="C11" s="26" t="s">
        <v>31</v>
      </c>
      <c r="D11" s="14" t="n">
        <f aca="false">Quotation!G20</f>
        <v>1156</v>
      </c>
      <c r="E11" s="27" t="n">
        <v>407</v>
      </c>
      <c r="F11" s="27" t="n">
        <v>470492</v>
      </c>
      <c r="G11" s="14" t="n">
        <f aca="false">ROUND(D11*E11,2)</f>
        <v>470492</v>
      </c>
      <c r="H11" s="14" t="n">
        <f aca="false">ROUND(F11-G11,2)</f>
        <v>0</v>
      </c>
      <c r="I11" s="14" t="str">
        <f aca="false">IF(Quotation!H20="","",Quotation!H20)</f>
        <v/>
      </c>
      <c r="J11" s="26" t="str">
        <f aca="false">IF(I11="","",IF(I11&gt;E11,"ABOVE contract rate: check","OK"))</f>
        <v/>
      </c>
    </row>
    <row r="12" customFormat="false" ht="15" hidden="false" customHeight="false" outlineLevel="0" collapsed="false">
      <c r="A12" s="26" t="n">
        <v>14</v>
      </c>
      <c r="B12" s="26" t="s">
        <v>52</v>
      </c>
      <c r="C12" s="26" t="s">
        <v>31</v>
      </c>
      <c r="D12" s="14" t="n">
        <f aca="false">Quotation!G21</f>
        <v>2288</v>
      </c>
      <c r="E12" s="27" t="n">
        <v>640</v>
      </c>
      <c r="F12" s="27" t="n">
        <v>1464320</v>
      </c>
      <c r="G12" s="14" t="n">
        <f aca="false">ROUND(D12*E12,2)</f>
        <v>1464320</v>
      </c>
      <c r="H12" s="14" t="n">
        <f aca="false">ROUND(F12-G12,2)</f>
        <v>0</v>
      </c>
      <c r="I12" s="14" t="str">
        <f aca="false">IF(Quotation!H21="","",Quotation!H21)</f>
        <v/>
      </c>
      <c r="J12" s="26" t="str">
        <f aca="false">IF(I12="","",IF(I12&gt;E12,"ABOVE contract rate: check","OK"))</f>
        <v/>
      </c>
    </row>
    <row r="13" customFormat="false" ht="15" hidden="false" customHeight="false" outlineLevel="0" collapsed="false">
      <c r="A13" s="26" t="n">
        <v>15</v>
      </c>
      <c r="B13" s="26" t="s">
        <v>54</v>
      </c>
      <c r="C13" s="26" t="s">
        <v>31</v>
      </c>
      <c r="D13" s="14" t="n">
        <f aca="false">Quotation!G22</f>
        <v>573.75</v>
      </c>
      <c r="E13" s="27" t="n">
        <v>971</v>
      </c>
      <c r="F13" s="27" t="n">
        <v>557111.25</v>
      </c>
      <c r="G13" s="14" t="n">
        <f aca="false">ROUND(D13*E13,2)</f>
        <v>557111.25</v>
      </c>
      <c r="H13" s="14" t="n">
        <f aca="false">ROUND(F13-G13,2)</f>
        <v>0</v>
      </c>
      <c r="I13" s="14" t="str">
        <f aca="false">IF(Quotation!H22="","",Quotation!H22)</f>
        <v/>
      </c>
      <c r="J13" s="26" t="str">
        <f aca="false">IF(I13="","",IF(I13&gt;E13,"ABOVE contract rate: check","OK"))</f>
        <v/>
      </c>
    </row>
    <row r="15" customFormat="false" ht="15" hidden="false" customHeight="false" outlineLevel="0" collapsed="false">
      <c r="A15" s="28" t="s">
        <v>88</v>
      </c>
    </row>
    <row r="16" customFormat="false" ht="15" hidden="false" customHeight="false" outlineLevel="0" collapsed="false">
      <c r="A16" s="28"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2026-10-15T07:31:48Z</dcterms:created>
  <dc:creator>openpyxl</dc:creator>
  <dc:description/>
  <dc:language>en-US</dc:language>
  <cp:lastModifiedBy/>
  <dcterms:modified xsi:type="dcterms:W3CDTF">2026-10-15T07:31:49Z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